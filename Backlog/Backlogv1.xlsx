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gramacao\Meus_projetos\Owlfall\Backlog\"/>
    </mc:Choice>
  </mc:AlternateContent>
  <xr:revisionPtr revIDLastSave="0" documentId="13_ncr:1_{1FF373E4-C2B0-44AC-861A-DF43CAF24643}" xr6:coauthVersionLast="47" xr6:coauthVersionMax="47" xr10:uidLastSave="{00000000-0000-0000-0000-000000000000}"/>
  <bookViews>
    <workbookView xWindow="-120" yWindow="-120" windowWidth="29040" windowHeight="16440" xr2:uid="{22534077-797E-4024-8787-077D6AFD948D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Planilha1!$E$6:$L$28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R9" i="1" s="1"/>
  <c r="O9" i="1"/>
  <c r="R11" i="1" s="1"/>
  <c r="O8" i="1"/>
  <c r="R10" i="1" s="1"/>
  <c r="O10" i="1" l="1"/>
  <c r="O11" i="1" l="1"/>
  <c r="R8" i="1"/>
  <c r="S8" i="1" s="1"/>
</calcChain>
</file>

<file path=xl/sharedStrings.xml><?xml version="1.0" encoding="utf-8"?>
<sst xmlns="http://schemas.openxmlformats.org/spreadsheetml/2006/main" count="98" uniqueCount="57">
  <si>
    <t>Classificação</t>
  </si>
  <si>
    <t>Tamanho</t>
  </si>
  <si>
    <t>Prioridade</t>
  </si>
  <si>
    <t>Status</t>
  </si>
  <si>
    <t>Pontos Fibonacci</t>
  </si>
  <si>
    <t>Planejado</t>
  </si>
  <si>
    <t>Essencial</t>
  </si>
  <si>
    <t>Concluído</t>
  </si>
  <si>
    <t>Total</t>
  </si>
  <si>
    <t>Média</t>
  </si>
  <si>
    <t xml:space="preserve"> </t>
  </si>
  <si>
    <t>Requisitos</t>
  </si>
  <si>
    <t>Descrição</t>
  </si>
  <si>
    <t>Estimativa</t>
  </si>
  <si>
    <t>Sprint</t>
  </si>
  <si>
    <t>G</t>
  </si>
  <si>
    <t>Sprint1</t>
  </si>
  <si>
    <t>Sprint2</t>
  </si>
  <si>
    <t>Criar modelagem das tabelas do banco de dados.</t>
  </si>
  <si>
    <t>Concluido</t>
  </si>
  <si>
    <t>Sprint3</t>
  </si>
  <si>
    <t>P</t>
  </si>
  <si>
    <t>M</t>
  </si>
  <si>
    <t>Criar Diagrama de Solução Técnica</t>
  </si>
  <si>
    <t>Criar a Diagrama de Solução Técnica que descreva o funcionamento tecnico da solução.</t>
  </si>
  <si>
    <t>Criar Diagrama de Visão de Negócios</t>
  </si>
  <si>
    <t>Criar o Diagrama de Visão de Negócios que descreva o funcionamento de forma simples e visual.</t>
  </si>
  <si>
    <t>Criar Protótipo do Site Institucional</t>
  </si>
  <si>
    <t>Criar o protótipo de como o site vai funcionar visualmente.</t>
  </si>
  <si>
    <t>Criar Aba Início (Home) no website institucional</t>
  </si>
  <si>
    <t>Criar a sessão de início do site institucional.</t>
  </si>
  <si>
    <t>GG</t>
  </si>
  <si>
    <t>Instalar VM Lubuntu</t>
  </si>
  <si>
    <t>Instalar máquina virtual Lubuntu.</t>
  </si>
  <si>
    <t>Instalar MySQL na VMLinux</t>
  </si>
  <si>
    <t>Colocar o banco de dados na VM.</t>
  </si>
  <si>
    <t>Conexão da API com o Banco de Dados</t>
  </si>
  <si>
    <t>Conectar a API com o Banco de Dados para que os dados captados pelo sensor possam ser armazenados nas tabelas.</t>
  </si>
  <si>
    <t>Definir métricas e indicadores do Dashboard</t>
  </si>
  <si>
    <t>Definir as medidas (quantitativas ou qualitativas) que serão disponibilizadas na Dashboard.</t>
  </si>
  <si>
    <t>Criação de Gráficos com ChartJS</t>
  </si>
  <si>
    <t>Criar os gráficos da Dashboard usando a API ChartJS para melhor visualização dos dados.</t>
  </si>
  <si>
    <t xml:space="preserve">Criar site Institucional Dinâmico </t>
  </si>
  <si>
    <t>Criar as funcionalidades do site e fazer as conexões com as API's e Banco de Dados.</t>
  </si>
  <si>
    <t>Criar Logo da Empresa</t>
  </si>
  <si>
    <t>Criação da logo que representará a nossa empresa.</t>
  </si>
  <si>
    <t>Desejável</t>
  </si>
  <si>
    <t>PP</t>
  </si>
  <si>
    <t>Decidir Paleta de Cores do Site</t>
  </si>
  <si>
    <t>Realizar a escolha de cores da nossa empresa.</t>
  </si>
  <si>
    <t>A Fazer</t>
  </si>
  <si>
    <t>Backlog</t>
  </si>
  <si>
    <t>Documentação do Projeto</t>
  </si>
  <si>
    <t>Criar a documentação do projeto</t>
  </si>
  <si>
    <t>Criar Modelagem Lógica de Banco de Dados</t>
  </si>
  <si>
    <t>Criar Script do Banco de Dados</t>
  </si>
  <si>
    <t>Criar o banco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</si>
</sst>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246440620815416E-2"/>
          <c:y val="0.18589958750468136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Planilha1!$R$7</c:f>
              <c:strCache>
                <c:ptCount val="1"/>
                <c:pt idx="0">
                  <c:v>Pontos Fibonacci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Planilha1!$R$8:$R$11</c:f>
              <c:numCache>
                <c:formatCode>General</c:formatCode>
                <c:ptCount val="4"/>
                <c:pt idx="0">
                  <c:v>157</c:v>
                </c:pt>
                <c:pt idx="1">
                  <c:v>37</c:v>
                </c:pt>
                <c:pt idx="2">
                  <c:v>60</c:v>
                </c:pt>
                <c:pt idx="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7-4139-B32E-5A4F2ECA5A08}"/>
            </c:ext>
          </c:extLst>
        </c:ser>
        <c:ser>
          <c:idx val="1"/>
          <c:order val="1"/>
          <c:tx>
            <c:strRef>
              <c:f>Planilha1!$S$7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Planilha1!$S$8:$S$11</c:f>
              <c:numCache>
                <c:formatCode>General</c:formatCode>
                <c:ptCount val="4"/>
                <c:pt idx="0">
                  <c:v>157</c:v>
                </c:pt>
                <c:pt idx="1">
                  <c:v>27</c:v>
                </c:pt>
                <c:pt idx="2">
                  <c:v>59</c:v>
                </c:pt>
                <c:pt idx="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7-4139-B32E-5A4F2ECA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0936320"/>
        <c:axId val="1190915680"/>
      </c:lineChart>
      <c:catAx>
        <c:axId val="11909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915680"/>
        <c:crosses val="autoZero"/>
        <c:auto val="1"/>
        <c:lblAlgn val="ctr"/>
        <c:lblOffset val="100"/>
        <c:noMultiLvlLbl val="0"/>
      </c:catAx>
      <c:valAx>
        <c:axId val="119091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9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689160</xdr:colOff>
      <xdr:row>11</xdr:row>
      <xdr:rowOff>230842</xdr:rowOff>
    </xdr:from>
    <xdr:to>
      <xdr:col>20</xdr:col>
      <xdr:colOff>415636</xdr:colOff>
      <xdr:row>14</xdr:row>
      <xdr:rowOff>796637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7300B9-F678-7460-6663-69C99FAFC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gramacao\Sptech\Grupo_pi\Tecnologia_da_Informa&#231;&#227;o\backlog-v2.xlsx" TargetMode="External"/><Relationship Id="rId1" Type="http://schemas.openxmlformats.org/officeDocument/2006/relationships/externalLinkPath" Target="/Programacao/Sptech/Grupo_pi/Tecnologia_da_Informa&#231;&#227;o/backlog-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</sheetNames>
    <sheetDataSet>
      <sheetData sheetId="0">
        <row r="3">
          <cell r="N3" t="str">
            <v>Pontos Fibonacci</v>
          </cell>
          <cell r="O3" t="str">
            <v>Planejado</v>
          </cell>
        </row>
        <row r="4">
          <cell r="N4">
            <v>262</v>
          </cell>
          <cell r="O4">
            <v>262</v>
          </cell>
        </row>
        <row r="5">
          <cell r="N5">
            <v>37</v>
          </cell>
          <cell r="O5">
            <v>93</v>
          </cell>
        </row>
        <row r="6">
          <cell r="N6">
            <v>141</v>
          </cell>
          <cell r="O6">
            <v>93</v>
          </cell>
        </row>
        <row r="7">
          <cell r="N7">
            <v>84</v>
          </cell>
          <cell r="O7">
            <v>84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B1ED-A20B-4030-8AF7-D2D8AFFB9513}">
  <dimension ref="B1:W31"/>
  <sheetViews>
    <sheetView tabSelected="1" zoomScale="55" zoomScaleNormal="55" workbookViewId="0">
      <selection activeCell="AA15" sqref="AA15"/>
    </sheetView>
  </sheetViews>
  <sheetFormatPr defaultRowHeight="15" x14ac:dyDescent="0.25"/>
  <cols>
    <col min="1" max="4" width="9.140625" customWidth="1"/>
    <col min="5" max="5" width="46" customWidth="1"/>
    <col min="6" max="6" width="30" customWidth="1"/>
    <col min="7" max="7" width="17.140625" customWidth="1"/>
    <col min="8" max="8" width="18" customWidth="1"/>
    <col min="9" max="9" width="14.5703125" customWidth="1"/>
    <col min="10" max="10" width="13.140625" customWidth="1"/>
    <col min="11" max="11" width="14.85546875" customWidth="1"/>
    <col min="12" max="12" width="17.5703125" customWidth="1"/>
    <col min="14" max="19" width="15.140625" customWidth="1"/>
  </cols>
  <sheetData>
    <row r="1" spans="2:23" x14ac:dyDescent="0.25">
      <c r="N1" t="s">
        <v>10</v>
      </c>
    </row>
    <row r="3" spans="2:23" ht="15.75" customHeight="1" x14ac:dyDescent="0.25">
      <c r="B3" s="14"/>
      <c r="C3" s="14"/>
      <c r="D3" s="14"/>
      <c r="I3" t="s">
        <v>10</v>
      </c>
    </row>
    <row r="4" spans="2:23" ht="15" customHeight="1" x14ac:dyDescent="0.25">
      <c r="B4" s="14"/>
      <c r="C4" s="14"/>
      <c r="D4" s="14"/>
    </row>
    <row r="5" spans="2:23" ht="18.75" x14ac:dyDescent="0.25">
      <c r="B5" s="14"/>
      <c r="C5" s="14"/>
      <c r="D5" s="14"/>
      <c r="E5" s="15" t="s">
        <v>51</v>
      </c>
      <c r="F5" s="15"/>
      <c r="G5" s="15"/>
      <c r="H5" s="15"/>
      <c r="I5" s="15"/>
      <c r="J5" s="15"/>
      <c r="K5" s="15"/>
      <c r="L5" s="15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2:23" ht="15.75" x14ac:dyDescent="0.25">
      <c r="B6" s="14"/>
      <c r="C6" s="14"/>
      <c r="D6" s="14"/>
      <c r="E6" s="16" t="s">
        <v>11</v>
      </c>
      <c r="F6" s="17" t="s">
        <v>12</v>
      </c>
      <c r="G6" s="18" t="s">
        <v>0</v>
      </c>
      <c r="H6" s="19" t="s">
        <v>1</v>
      </c>
      <c r="I6" s="20" t="s">
        <v>13</v>
      </c>
      <c r="J6" s="19" t="s">
        <v>2</v>
      </c>
      <c r="K6" s="20" t="s">
        <v>14</v>
      </c>
      <c r="L6" s="20" t="s">
        <v>3</v>
      </c>
    </row>
    <row r="7" spans="2:23" ht="71.25" customHeight="1" x14ac:dyDescent="0.25">
      <c r="E7" s="1" t="s">
        <v>52</v>
      </c>
      <c r="F7" s="2" t="s">
        <v>53</v>
      </c>
      <c r="G7" s="3" t="s">
        <v>6</v>
      </c>
      <c r="H7" s="4" t="s">
        <v>15</v>
      </c>
      <c r="I7" s="4">
        <v>13</v>
      </c>
      <c r="J7" s="4">
        <v>1</v>
      </c>
      <c r="K7" s="4">
        <v>2</v>
      </c>
      <c r="L7" s="4" t="s">
        <v>7</v>
      </c>
      <c r="N7" s="20" t="s">
        <v>16</v>
      </c>
      <c r="O7" s="4">
        <f>SUMIF(K:K,1,I:I)</f>
        <v>37</v>
      </c>
      <c r="Q7" s="5"/>
      <c r="R7" s="20" t="s">
        <v>4</v>
      </c>
      <c r="S7" s="20" t="s">
        <v>5</v>
      </c>
    </row>
    <row r="8" spans="2:23" ht="96.75" customHeight="1" x14ac:dyDescent="0.25">
      <c r="E8" s="1" t="s">
        <v>54</v>
      </c>
      <c r="F8" s="2" t="s">
        <v>18</v>
      </c>
      <c r="G8" s="3" t="s">
        <v>6</v>
      </c>
      <c r="H8" s="4" t="s">
        <v>15</v>
      </c>
      <c r="I8" s="4">
        <v>13</v>
      </c>
      <c r="J8" s="4">
        <v>2</v>
      </c>
      <c r="K8" s="4">
        <v>2</v>
      </c>
      <c r="L8" s="4" t="s">
        <v>7</v>
      </c>
      <c r="N8" s="20" t="s">
        <v>17</v>
      </c>
      <c r="O8" s="4">
        <f>SUMIF(K:K,2,I:I)</f>
        <v>60</v>
      </c>
      <c r="Q8" s="20" t="s">
        <v>8</v>
      </c>
      <c r="R8" s="4">
        <f>O10</f>
        <v>157</v>
      </c>
      <c r="S8" s="4">
        <f>R8</f>
        <v>157</v>
      </c>
    </row>
    <row r="9" spans="2:23" ht="92.25" customHeight="1" x14ac:dyDescent="0.25">
      <c r="E9" s="1" t="s">
        <v>23</v>
      </c>
      <c r="F9" s="2" t="s">
        <v>24</v>
      </c>
      <c r="G9" s="6" t="s">
        <v>6</v>
      </c>
      <c r="H9" s="4" t="s">
        <v>22</v>
      </c>
      <c r="I9" s="4">
        <v>8</v>
      </c>
      <c r="J9" s="4">
        <v>3</v>
      </c>
      <c r="K9" s="4">
        <v>2</v>
      </c>
      <c r="L9" s="7" t="s">
        <v>7</v>
      </c>
      <c r="N9" s="20" t="s">
        <v>20</v>
      </c>
      <c r="O9" s="8">
        <f>SUMIF(K:K,3,I:I)</f>
        <v>60</v>
      </c>
      <c r="Q9" s="20" t="s">
        <v>16</v>
      </c>
      <c r="R9" s="4">
        <f>O7</f>
        <v>37</v>
      </c>
      <c r="S9" s="4">
        <v>27</v>
      </c>
    </row>
    <row r="10" spans="2:23" ht="92.25" customHeight="1" x14ac:dyDescent="0.25">
      <c r="E10" s="1" t="s">
        <v>25</v>
      </c>
      <c r="F10" s="2" t="s">
        <v>26</v>
      </c>
      <c r="G10" s="3" t="s">
        <v>6</v>
      </c>
      <c r="H10" s="4" t="s">
        <v>21</v>
      </c>
      <c r="I10" s="4">
        <v>5</v>
      </c>
      <c r="J10" s="4">
        <v>4</v>
      </c>
      <c r="K10" s="4">
        <v>2</v>
      </c>
      <c r="L10" s="4" t="s">
        <v>7</v>
      </c>
      <c r="N10" s="20" t="s">
        <v>8</v>
      </c>
      <c r="O10" s="9">
        <f>SUM(O7:O9)</f>
        <v>157</v>
      </c>
      <c r="Q10" s="20" t="s">
        <v>17</v>
      </c>
      <c r="R10" s="4">
        <f>O8</f>
        <v>60</v>
      </c>
      <c r="S10" s="4">
        <v>59</v>
      </c>
    </row>
    <row r="11" spans="2:23" ht="92.25" customHeight="1" x14ac:dyDescent="0.25">
      <c r="E11" s="1" t="s">
        <v>27</v>
      </c>
      <c r="F11" s="2" t="s">
        <v>28</v>
      </c>
      <c r="G11" s="3" t="s">
        <v>6</v>
      </c>
      <c r="H11" s="4" t="s">
        <v>15</v>
      </c>
      <c r="I11" s="4">
        <v>13</v>
      </c>
      <c r="J11" s="4">
        <v>2</v>
      </c>
      <c r="K11" s="4">
        <v>1</v>
      </c>
      <c r="L11" s="4" t="s">
        <v>7</v>
      </c>
      <c r="N11" s="20" t="s">
        <v>9</v>
      </c>
      <c r="O11" s="4">
        <f>O10/3</f>
        <v>52.333333333333336</v>
      </c>
      <c r="Q11" s="20" t="s">
        <v>20</v>
      </c>
      <c r="R11" s="4">
        <f>O9</f>
        <v>60</v>
      </c>
      <c r="S11" s="4">
        <v>71</v>
      </c>
    </row>
    <row r="12" spans="2:23" ht="92.25" customHeight="1" x14ac:dyDescent="0.25">
      <c r="E12" s="10" t="s">
        <v>29</v>
      </c>
      <c r="F12" s="11" t="s">
        <v>30</v>
      </c>
      <c r="G12" s="12" t="s">
        <v>6</v>
      </c>
      <c r="H12" s="4" t="s">
        <v>15</v>
      </c>
      <c r="I12" s="4">
        <v>13</v>
      </c>
      <c r="J12" s="4">
        <v>3</v>
      </c>
      <c r="K12" s="4">
        <v>1</v>
      </c>
      <c r="L12" s="4" t="s">
        <v>7</v>
      </c>
    </row>
    <row r="13" spans="2:23" ht="92.25" customHeight="1" x14ac:dyDescent="0.25">
      <c r="E13" s="1" t="s">
        <v>32</v>
      </c>
      <c r="F13" s="2" t="s">
        <v>33</v>
      </c>
      <c r="G13" s="6" t="s">
        <v>6</v>
      </c>
      <c r="H13" s="4" t="s">
        <v>21</v>
      </c>
      <c r="I13" s="4">
        <v>5</v>
      </c>
      <c r="J13" s="4">
        <v>5</v>
      </c>
      <c r="K13" s="4">
        <v>1</v>
      </c>
      <c r="L13" s="7" t="s">
        <v>19</v>
      </c>
    </row>
    <row r="14" spans="2:23" ht="92.25" customHeight="1" x14ac:dyDescent="0.25">
      <c r="E14" s="1" t="s">
        <v>55</v>
      </c>
      <c r="F14" s="2" t="s">
        <v>56</v>
      </c>
      <c r="G14" s="3" t="s">
        <v>6</v>
      </c>
      <c r="H14" s="4" t="s">
        <v>15</v>
      </c>
      <c r="I14" s="4">
        <v>13</v>
      </c>
      <c r="J14" s="4">
        <v>5</v>
      </c>
      <c r="K14" s="4">
        <v>2</v>
      </c>
      <c r="L14" s="4" t="s">
        <v>50</v>
      </c>
    </row>
    <row r="15" spans="2:23" ht="92.25" customHeight="1" x14ac:dyDescent="0.25">
      <c r="E15" s="1" t="s">
        <v>36</v>
      </c>
      <c r="F15" s="2" t="s">
        <v>37</v>
      </c>
      <c r="G15" s="6" t="s">
        <v>6</v>
      </c>
      <c r="H15" s="4" t="s">
        <v>15</v>
      </c>
      <c r="I15" s="4">
        <v>13</v>
      </c>
      <c r="J15" s="4">
        <v>2</v>
      </c>
      <c r="K15" s="4">
        <v>3</v>
      </c>
      <c r="L15" s="4" t="s">
        <v>50</v>
      </c>
      <c r="O15" s="21"/>
    </row>
    <row r="16" spans="2:23" ht="92.25" customHeight="1" x14ac:dyDescent="0.25">
      <c r="E16" s="1" t="s">
        <v>38</v>
      </c>
      <c r="F16" s="2" t="s">
        <v>39</v>
      </c>
      <c r="G16" s="6" t="s">
        <v>6</v>
      </c>
      <c r="H16" s="4" t="s">
        <v>15</v>
      </c>
      <c r="I16" s="4">
        <v>13</v>
      </c>
      <c r="J16" s="4">
        <v>3</v>
      </c>
      <c r="K16" s="4">
        <v>3</v>
      </c>
      <c r="L16" s="4" t="s">
        <v>50</v>
      </c>
      <c r="V16" t="s">
        <v>10</v>
      </c>
    </row>
    <row r="17" spans="5:12" ht="92.25" customHeight="1" x14ac:dyDescent="0.25">
      <c r="E17" s="1" t="s">
        <v>40</v>
      </c>
      <c r="F17" s="2" t="s">
        <v>41</v>
      </c>
      <c r="G17" s="6" t="s">
        <v>6</v>
      </c>
      <c r="H17" s="4" t="s">
        <v>15</v>
      </c>
      <c r="I17" s="4">
        <v>13</v>
      </c>
      <c r="J17" s="4">
        <v>4</v>
      </c>
      <c r="K17" s="4">
        <v>3</v>
      </c>
      <c r="L17" s="4" t="s">
        <v>50</v>
      </c>
    </row>
    <row r="18" spans="5:12" ht="92.25" customHeight="1" x14ac:dyDescent="0.25">
      <c r="E18" s="1" t="s">
        <v>42</v>
      </c>
      <c r="F18" s="2" t="s">
        <v>43</v>
      </c>
      <c r="G18" s="6" t="s">
        <v>6</v>
      </c>
      <c r="H18" s="4" t="s">
        <v>31</v>
      </c>
      <c r="I18" s="4">
        <v>21</v>
      </c>
      <c r="J18" s="4">
        <v>1</v>
      </c>
      <c r="K18" s="4">
        <v>3</v>
      </c>
      <c r="L18" s="4" t="s">
        <v>50</v>
      </c>
    </row>
    <row r="19" spans="5:12" ht="92.25" customHeight="1" x14ac:dyDescent="0.25">
      <c r="E19" s="1" t="s">
        <v>44</v>
      </c>
      <c r="F19" s="2" t="s">
        <v>45</v>
      </c>
      <c r="G19" s="6" t="s">
        <v>46</v>
      </c>
      <c r="H19" s="4" t="s">
        <v>47</v>
      </c>
      <c r="I19" s="4">
        <v>3</v>
      </c>
      <c r="J19" s="4">
        <v>4</v>
      </c>
      <c r="K19" s="4">
        <v>1</v>
      </c>
      <c r="L19" s="4" t="s">
        <v>7</v>
      </c>
    </row>
    <row r="20" spans="5:12" ht="92.25" customHeight="1" x14ac:dyDescent="0.25">
      <c r="E20" s="1" t="s">
        <v>48</v>
      </c>
      <c r="F20" s="2" t="s">
        <v>49</v>
      </c>
      <c r="G20" s="6" t="s">
        <v>46</v>
      </c>
      <c r="H20" s="4" t="s">
        <v>47</v>
      </c>
      <c r="I20" s="4">
        <v>3</v>
      </c>
      <c r="J20" s="4">
        <v>1</v>
      </c>
      <c r="K20" s="4">
        <v>1</v>
      </c>
      <c r="L20" s="4" t="s">
        <v>7</v>
      </c>
    </row>
    <row r="21" spans="5:12" ht="92.25" customHeight="1" x14ac:dyDescent="0.25"/>
    <row r="22" spans="5:12" ht="92.25" customHeight="1" x14ac:dyDescent="0.25"/>
    <row r="23" spans="5:12" ht="92.25" customHeight="1" x14ac:dyDescent="0.25"/>
    <row r="24" spans="5:12" ht="92.25" customHeight="1" x14ac:dyDescent="0.25"/>
    <row r="25" spans="5:12" ht="92.25" customHeight="1" x14ac:dyDescent="0.25"/>
    <row r="26" spans="5:12" ht="18.75" customHeight="1" x14ac:dyDescent="0.25"/>
    <row r="27" spans="5:12" ht="18.75" customHeight="1" x14ac:dyDescent="0.25"/>
    <row r="28" spans="5:12" ht="92.25" customHeight="1" x14ac:dyDescent="0.25">
      <c r="E28" s="1" t="s">
        <v>34</v>
      </c>
      <c r="F28" s="2" t="s">
        <v>35</v>
      </c>
      <c r="G28" s="6" t="s">
        <v>6</v>
      </c>
      <c r="H28" s="4" t="s">
        <v>22</v>
      </c>
      <c r="I28" s="4">
        <v>8</v>
      </c>
      <c r="J28" s="4">
        <v>6</v>
      </c>
      <c r="K28" s="4">
        <v>2</v>
      </c>
      <c r="L28" s="4" t="s">
        <v>50</v>
      </c>
    </row>
    <row r="29" spans="5:12" ht="17.25" customHeight="1" x14ac:dyDescent="0.25"/>
    <row r="30" spans="5:12" ht="17.25" customHeight="1" x14ac:dyDescent="0.25"/>
    <row r="31" spans="5:12" ht="17.25" customHeight="1" x14ac:dyDescent="0.25"/>
  </sheetData>
  <autoFilter ref="E6:L28" xr:uid="{A871B1ED-A20B-4030-8AF7-D2D8AFFB9513}"/>
  <mergeCells count="1">
    <mergeCell ref="E5:L5"/>
  </mergeCells>
  <conditionalFormatting sqref="L6:L13 L15:L20 L28">
    <cfRule type="containsText" dxfId="5" priority="7" operator="containsText" text="A Fazer">
      <formula>NOT(ISERROR(SEARCH("A Fazer",L6)))</formula>
    </cfRule>
    <cfRule type="containsText" dxfId="4" priority="8" operator="containsText" text="Concluído">
      <formula>NOT(ISERROR(SEARCH("Concluído",L6)))</formula>
    </cfRule>
    <cfRule type="containsText" dxfId="3" priority="9" operator="containsText" text="Em Andamento">
      <formula>NOT(ISERROR(SEARCH("Em Andamento",L6)))</formula>
    </cfRule>
  </conditionalFormatting>
  <conditionalFormatting sqref="L14">
    <cfRule type="containsText" dxfId="2" priority="1" operator="containsText" text="A Fazer">
      <formula>NOT(ISERROR(SEARCH("A Fazer",L14)))</formula>
    </cfRule>
    <cfRule type="containsText" dxfId="1" priority="2" operator="containsText" text="Concluído">
      <formula>NOT(ISERROR(SEARCH("Concluído",L14)))</formula>
    </cfRule>
    <cfRule type="containsText" dxfId="0" priority="3" operator="containsText" text="Em Andamento">
      <formula>NOT(ISERROR(SEARCH("Em Andamento",L14)))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Sousa Moraes</dc:creator>
  <cp:lastModifiedBy>Samuel Sousa Moraes</cp:lastModifiedBy>
  <dcterms:created xsi:type="dcterms:W3CDTF">2025-11-13T00:26:07Z</dcterms:created>
  <dcterms:modified xsi:type="dcterms:W3CDTF">2025-11-13T01:34:29Z</dcterms:modified>
</cp:coreProperties>
</file>